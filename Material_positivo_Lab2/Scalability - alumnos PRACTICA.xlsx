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odeloPrediccionCapacidad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<sst xmlns="http://schemas.openxmlformats.org/spreadsheetml/2006/main" count="21" uniqueCount="21">
  <si>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Usuarios (N)</t>
  </si>
  <si>
    <t xml:space="preserve">Variable elegida (Transfer rate, usando contador.php)</t>
  </si>
  <si>
    <t xml:space="preserve">CapRel C(N)</t>
  </si>
  <si>
    <t xml:space="preserve">Eficiencia C/N</t>
  </si>
  <si>
    <t xml:space="preserve">Inversa N/C</t>
  </si>
  <si>
    <t xml:space="preserve">Linealidad (N-1)</t>
  </si>
  <si>
    <t xml:space="preserve">Desviación (N/C)-1</t>
  </si>
  <si>
    <t xml:space="preserve">Línea de tendencia</t>
  </si>
  <si>
    <t xml:space="preserve">Serial Values</t>
  </si>
  <si>
    <t>Coeficientes</t>
  </si>
  <si>
    <t>Usuarios</t>
  </si>
  <si>
    <t xml:space="preserve">Cap modelada</t>
  </si>
  <si>
    <t xml:space="preserve">X modelado</t>
  </si>
  <si>
    <t xml:space="preserve">X Medido</t>
  </si>
  <si>
    <t>a</t>
  </si>
  <si>
    <t>b</t>
  </si>
  <si>
    <t>c</t>
  </si>
  <si>
    <t>Super-Parametros</t>
  </si>
  <si>
    <t>alfa</t>
  </si>
  <si>
    <t>beta</t>
  </si>
  <si>
    <t>N*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</si>
</sst>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5">
    <font>
      <sz val="11.000000"/>
      <color theme="1"/>
      <name val="Calibri"/>
      <scheme val="minor"/>
    </font>
    <font>
      <b/>
      <sz val="11.000000"/>
      <color rgb="FFFA7D0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47"/>
      </patternFill>
    </fill>
    <fill>
      <patternFill patternType="solid">
        <fgColor theme="8" tint="0.59999389629810485"/>
      </patternFill>
    </fill>
    <fill>
      <patternFill patternType="solid">
        <fgColor indexed="5"/>
      </patternFill>
    </fill>
    <fill>
      <patternFill patternType="solid">
        <fgColor indexed="2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4">
    <xf fontId="0" fillId="0" borderId="0" numFmtId="0" applyNumberFormat="1" applyFont="1" applyFill="1" applyBorder="1"/>
    <xf fontId="1" fillId="2" borderId="1" numFmtId="0" applyNumberFormat="0" applyFont="1" applyFill="1" applyBorder="1" applyProtection="0"/>
    <xf fontId="2" fillId="3" borderId="1" numFmtId="0" applyNumberFormat="0" applyFont="1" applyFill="1" applyBorder="1" applyProtection="0"/>
    <xf fontId="3" fillId="2" borderId="2" numFmtId="0" applyNumberFormat="0" applyFont="1" applyFill="1" applyBorder="1" applyProtection="0"/>
  </cellStyleXfs>
  <cellXfs count="24">
    <xf fontId="0" fillId="0" borderId="0" numFmtId="0" xfId="0"/>
    <xf fontId="0" fillId="0" borderId="0" numFmtId="4" xfId="0" applyNumberFormat="1"/>
    <xf fontId="4" fillId="4" borderId="0" numFmtId="0" xfId="0" applyFont="1" applyFill="1" applyAlignment="1">
      <alignment horizontal="center" vertical="center"/>
    </xf>
    <xf fontId="4" fillId="4" borderId="0" numFmtId="4" xfId="0" applyNumberFormat="1" applyFont="1" applyFill="1" applyAlignment="1">
      <alignment horizontal="center" vertical="center" wrapText="1"/>
    </xf>
    <xf fontId="4" fillId="4" borderId="0" numFmtId="164" xfId="0" applyNumberFormat="1" applyFont="1" applyFill="1" applyAlignment="1">
      <alignment horizontal="center" vertical="center"/>
    </xf>
    <xf fontId="1" fillId="2" borderId="1" numFmtId="4" xfId="1" applyNumberFormat="1" applyFont="1" applyFill="1" applyBorder="1"/>
    <xf fontId="0" fillId="0" borderId="0" numFmtId="0" xfId="0">
      <protection hidden="0" locked="1"/>
    </xf>
    <xf fontId="4" fillId="5" borderId="0" numFmtId="0" xfId="0" applyFont="1" applyFill="1"/>
    <xf fontId="4" fillId="6" borderId="0" numFmtId="0" xfId="0" applyFont="1" applyFill="1" applyAlignment="1">
      <alignment horizontal="center"/>
    </xf>
    <xf fontId="4" fillId="5" borderId="0" numFmtId="4" xfId="0" applyNumberFormat="1" applyFont="1" applyFill="1"/>
    <xf fontId="0" fillId="5" borderId="0" numFmtId="4" xfId="0" applyNumberFormat="1" applyFill="1"/>
    <xf fontId="4" fillId="6" borderId="0" numFmtId="4" xfId="0" applyNumberFormat="1" applyFont="1" applyFill="1"/>
    <xf fontId="0" fillId="5" borderId="0" numFmtId="0" xfId="0" applyFill="1"/>
    <xf fontId="2" fillId="3" borderId="1" numFmtId="11" xfId="2" applyNumberFormat="1" applyFont="1" applyFill="1" applyBorder="1"/>
    <xf fontId="0" fillId="0" borderId="0" numFmtId="164" xfId="0" applyNumberFormat="1"/>
    <xf fontId="1" fillId="2" borderId="1" numFmtId="0" xfId="1" applyFont="1" applyFill="1" applyBorder="1"/>
    <xf fontId="2" fillId="3" borderId="1" numFmtId="165" xfId="2" applyNumberFormat="1" applyFont="1" applyFill="1" applyBorder="1"/>
    <xf fontId="0" fillId="0" borderId="0" numFmtId="11" xfId="0" applyNumberFormat="1"/>
    <xf fontId="4" fillId="5" borderId="0" numFmtId="0" xfId="0" applyFont="1" applyFill="1" applyAlignment="1">
      <alignment horizontal="center"/>
    </xf>
    <xf fontId="0" fillId="5" borderId="0" numFmtId="11" xfId="0" applyNumberFormat="1" applyFill="1"/>
    <xf fontId="1" fillId="2" borderId="1" numFmtId="164" xfId="1" applyNumberFormat="1" applyFont="1" applyFill="1" applyBorder="1"/>
    <xf fontId="0" fillId="5" borderId="0" numFmtId="165" xfId="0" applyNumberFormat="1" applyFill="1"/>
    <xf fontId="1" fillId="2" borderId="1" numFmtId="11" xfId="1" applyNumberFormat="1" applyFont="1" applyFill="1" applyBorder="1"/>
    <xf fontId="3" fillId="2" borderId="2" numFmtId="164" xfId="3" applyNumberFormat="1" applyFont="1" applyFill="1" applyBorder="1"/>
  </cellXfs>
  <cellStyles count="4">
    <cellStyle name="Cálculo" xfId="1" builtinId="22"/>
    <cellStyle name="Entrada" xfId="2" builtinId="20"/>
    <cellStyle name="Normal" xfId="0" builtinId="0"/>
    <cellStyle name="Salida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ModeloPrediccionCapacidad!$F$13</c:f>
              <c:strCache>
                <c:ptCount val="1"/>
                <c:pt idx="0">
                  <c:v>X modelado</c:v>
                </c:pt>
              </c:strCache>
            </c:strRef>
          </c:tx>
          <c:xVal>
            <c:numRef>
              <c:f>ModeloPrediccionCapacidad!$D$14:$D$18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ModeloPrediccionCapacidad!$F$14:$F$18</c:f>
              <c:numCache>
                <c:formatCode>#,##0.00</c:formatCode>
                <c:ptCount val="5"/>
                <c:pt idx="0">
                  <c:v>10495.25</c:v>
                </c:pt>
                <c:pt idx="1">
                  <c:v>18101.5005174198</c:v>
                </c:pt>
                <c:pt idx="2">
                  <c:v>26218.4611541344</c:v>
                </c:pt>
                <c:pt idx="3">
                  <c:v>28232.0107599193</c:v>
                </c:pt>
                <c:pt idx="4">
                  <c:v>21870.7996874186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ModeloPrediccionCapacidad!$G$13</c:f>
              <c:strCache>
                <c:ptCount val="1"/>
                <c:pt idx="0">
                  <c:v>X Medido</c:v>
                </c:pt>
              </c:strCache>
            </c:strRef>
          </c:tx>
          <c:xVal>
            <c:numRef>
              <c:f>ModeloPrediccionCapacidad!$D$14:$D$18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ModeloPrediccionCapacidad!$G$14:$G$18</c:f>
              <c:numCache>
                <c:formatCode>#,##0.00</c:formatCode>
                <c:ptCount val="5"/>
                <c:pt idx="0">
                  <c:v>10495.25</c:v>
                </c:pt>
                <c:pt idx="1">
                  <c:v>17795.86</c:v>
                </c:pt>
                <c:pt idx="2">
                  <c:v>23149.86</c:v>
                </c:pt>
                <c:pt idx="3">
                  <c:v>23418.87</c:v>
                </c:pt>
                <c:pt idx="4">
                  <c:v>19975.99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1164544"/>
        <c:axId val="121166080"/>
      </c:scatterChart>
      <c:valAx>
        <c:axId val="12116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166080"/>
        <c:crosses val="autoZero"/>
        <c:crossBetween val="midCat"/>
      </c:valAx>
      <c:valAx>
        <c:axId val="121166080"/>
        <c:scaling>
          <c:orientation val="minMax"/>
        </c:scaling>
        <c:delete val="0"/>
        <c:axPos val="l"/>
        <c:majorGridlines>
          <c:spPr bwMode="auto"/>
        </c:majorGridlines>
        <c:numFmt formatCode="#,##0.00" sourceLinked="1"/>
        <c:majorTickMark val="out"/>
        <c:minorTickMark val="none"/>
        <c:tickLblPos val="nextTo"/>
        <c:crossAx val="1211645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ModeloPrediccionCapacidad!$G$1</c:f>
              <c:strCache>
                <c:ptCount val="1"/>
                <c:pt idx="0">
                  <c:v>Desviación (N/C)-1</c:v>
                </c:pt>
              </c:strCache>
            </c:strRef>
          </c:tx>
          <c:trendline>
            <c:trendlineType val="poly"/>
            <c:order val="2"/>
            <c:intercept val="0.000000"/>
            <c:dispRSqr val="0"/>
            <c:dispEq val="1"/>
            <c:trendlineLbl>
              <c:layout>
                <c:manualLayout>
                  <c:x val="0.418682"/>
                  <c:y val="-0.002442"/>
                </c:manualLayout>
              </c:layout>
              <c:numFmt formatCode="General" sourceLinked="0"/>
            </c:trendlineLbl>
          </c:trendline>
          <c:xVal>
            <c:numRef>
              <c:f>ModeloPrediccionCapacidad!$A$2:$A$6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ModeloPrediccionCapacidad!$G$2:$G$6</c:f>
              <c:numCache>
                <c:formatCode>#,##0.00</c:formatCode>
                <c:ptCount val="5"/>
                <c:pt idx="0">
                  <c:v>0</c:v>
                </c:pt>
                <c:pt idx="1">
                  <c:v>0.17951590988016308</c:v>
                </c:pt>
                <c:pt idx="2">
                  <c:v>0.8134450921085483</c:v>
                </c:pt>
                <c:pt idx="3">
                  <c:v>2.585228493091255</c:v>
                </c:pt>
                <c:pt idx="4">
                  <c:v>7.406291753249775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1911936"/>
        <c:axId val="121926016"/>
      </c:scatterChart>
      <c:valAx>
        <c:axId val="12191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926016"/>
        <c:crosses val="autoZero"/>
        <c:crossBetween val="midCat"/>
      </c:valAx>
      <c:valAx>
        <c:axId val="121926016"/>
        <c:scaling>
          <c:orientation val="minMax"/>
        </c:scaling>
        <c:delete val="0"/>
        <c:axPos val="l"/>
        <c:majorGridlines>
          <c:spPr bwMode="auto"/>
        </c:majorGridlines>
        <c:numFmt formatCode="#,##0.00" sourceLinked="1"/>
        <c:majorTickMark val="out"/>
        <c:minorTickMark val="none"/>
        <c:tickLblPos val="nextTo"/>
        <c:crossAx val="1219119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457200</xdr:colOff>
      <xdr:row>2</xdr:row>
      <xdr:rowOff>76200</xdr:rowOff>
    </xdr:from>
    <xdr:to>
      <xdr:col>9</xdr:col>
      <xdr:colOff>95251</xdr:colOff>
      <xdr:row>7</xdr:row>
      <xdr:rowOff>85725</xdr:rowOff>
    </xdr:to>
    <xdr:sp textlink="">
      <xdr:nvSpPr>
        <xdr:cNvPr id="2" name="1 Llamada rectangular redondeada"/>
        <xdr:cNvSpPr/>
      </xdr:nvSpPr>
      <xdr:spPr bwMode="auto">
        <a:xfrm>
          <a:off x="8391526" y="457201"/>
          <a:ext cx="1162050" cy="962024"/>
        </a:xfrm>
        <a:prstGeom prst="wedgeRoundRectCallout">
          <a:avLst>
            <a:gd name="adj1" fmla="val -77519"/>
            <a:gd name="adj2" fmla="val -2063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es-ES" sz="1100"/>
            <a:t>Las celdas en</a:t>
          </a:r>
          <a:r>
            <a:rPr lang="es-ES" sz="1100"/>
            <a:t> gris indican cálculos prestablecidos.</a:t>
          </a:r>
          <a:endParaRPr lang="es-ES" sz="1100"/>
        </a:p>
      </xdr:txBody>
    </xdr:sp>
    <xdr:clientData/>
  </xdr:twoCellAnchor>
  <xdr:twoCellAnchor editAs="twoCell">
    <xdr:from>
      <xdr:col>2</xdr:col>
      <xdr:colOff>123826</xdr:colOff>
      <xdr:row>11</xdr:row>
      <xdr:rowOff>142875</xdr:rowOff>
    </xdr:from>
    <xdr:to>
      <xdr:col>2</xdr:col>
      <xdr:colOff>1038226</xdr:colOff>
      <xdr:row>21</xdr:row>
      <xdr:rowOff>123824</xdr:rowOff>
    </xdr:to>
    <xdr:sp textlink="">
      <xdr:nvSpPr>
        <xdr:cNvPr id="3" name="2 Llamada rectangular redondeada"/>
        <xdr:cNvSpPr/>
      </xdr:nvSpPr>
      <xdr:spPr bwMode="auto">
        <a:xfrm>
          <a:off x="2876551" y="2238375"/>
          <a:ext cx="914400" cy="1885950"/>
        </a:xfrm>
        <a:prstGeom prst="wedgeRoundRectCallout">
          <a:avLst>
            <a:gd name="adj1" fmla="val -62535"/>
            <a:gd name="adj2" fmla="val -2251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es-ES" sz="1050"/>
            <a:t>Los parámetros a,b,c</a:t>
          </a:r>
          <a:r>
            <a:rPr lang="es-ES" sz="1050"/>
            <a:t> son los correspondientes a los coeficientes de la recta de regresión que ha calculado en la gráfica. </a:t>
          </a:r>
          <a:endParaRPr lang="es-ES" sz="1050"/>
        </a:p>
      </xdr:txBody>
    </xdr:sp>
    <xdr:clientData/>
  </xdr:twoCellAnchor>
  <xdr:twoCellAnchor editAs="twoCell">
    <xdr:from>
      <xdr:col>4</xdr:col>
      <xdr:colOff>95250</xdr:colOff>
      <xdr:row>22</xdr:row>
      <xdr:rowOff>19050</xdr:rowOff>
    </xdr:from>
    <xdr:to>
      <xdr:col>8</xdr:col>
      <xdr:colOff>704849</xdr:colOff>
      <xdr:row>36</xdr:row>
      <xdr:rowOff>109537</xdr:rowOff>
    </xdr:to>
    <xdr:graphicFrame>
      <xdr:nvGraphicFramePr>
        <xdr:cNvPr id="6" name="5 Gráfico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138112</xdr:colOff>
      <xdr:row>22</xdr:row>
      <xdr:rowOff>0</xdr:rowOff>
    </xdr:from>
    <xdr:to>
      <xdr:col>3</xdr:col>
      <xdr:colOff>871537</xdr:colOff>
      <xdr:row>36</xdr:row>
      <xdr:rowOff>76200</xdr:rowOff>
    </xdr:to>
    <xdr:graphicFrame>
      <xdr:nvGraphicFramePr>
        <xdr:cNvPr id="7" name="6 Gráfico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4" activeCellId="0" sqref="K14"/>
    </sheetView>
  </sheetViews>
  <sheetFormatPr baseColWidth="10" defaultRowHeight="14.25"/>
  <cols>
    <col bestFit="1" customWidth="1" min="1" max="1" width="17.85546875"/>
    <col customWidth="1" min="2" max="2" style="1" width="39.140625"/>
    <col bestFit="1" customWidth="1" min="3" max="3" width="16.28515625"/>
    <col bestFit="1" customWidth="1" min="4" max="4" style="1" width="13.42578125"/>
    <col customWidth="1" min="5" max="5" style="1" width="14"/>
    <col customWidth="1" min="6" max="6" style="1" width="17.28515625"/>
    <col bestFit="1" customWidth="1" min="7" max="7" style="1" width="16.7109375"/>
  </cols>
  <sheetData>
    <row r="1" ht="28.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>
        <v>1</v>
      </c>
      <c r="B2">
        <v>10495.25</v>
      </c>
      <c r="C2" s="5">
        <f t="shared" ref="C2:C6" si="0">B2/$B$2</f>
        <v>1</v>
      </c>
      <c r="D2" s="5">
        <f t="shared" ref="D2:D6" si="1">C2/A2</f>
        <v>1</v>
      </c>
      <c r="E2" s="5">
        <f t="shared" ref="E2:E6" si="2">A2/C2</f>
        <v>1</v>
      </c>
      <c r="F2" s="5">
        <f t="shared" ref="F2:F6" si="3">A2-1</f>
        <v>0</v>
      </c>
      <c r="G2" s="5">
        <f t="shared" ref="G2:G6" si="4">E2-1</f>
        <v>0</v>
      </c>
      <c r="J2">
        <f t="shared" ref="J2:J6" si="5">B2*1.1</f>
        <v>11544.775000000001</v>
      </c>
    </row>
    <row r="3">
      <c r="A3">
        <v>2</v>
      </c>
      <c r="B3">
        <v>17795.860000000001</v>
      </c>
      <c r="C3" s="5">
        <f t="shared" si="0"/>
        <v>1.6956108715847646</v>
      </c>
      <c r="D3" s="5">
        <f t="shared" si="1"/>
        <v>0.84780543579238232</v>
      </c>
      <c r="E3" s="5">
        <f t="shared" si="2"/>
        <v>1.1795159098801631</v>
      </c>
      <c r="F3" s="5">
        <f t="shared" si="3"/>
        <v>1</v>
      </c>
      <c r="G3" s="5">
        <f t="shared" si="4"/>
        <v>0.17951590988016308</v>
      </c>
      <c r="J3">
        <f t="shared" si="5"/>
        <v>19575.446000000004</v>
      </c>
    </row>
    <row r="4">
      <c r="A4">
        <v>4</v>
      </c>
      <c r="B4">
        <v>23149.860000000001</v>
      </c>
      <c r="C4" s="5">
        <f t="shared" si="0"/>
        <v>2.2057464090898264</v>
      </c>
      <c r="D4" s="5">
        <f t="shared" si="1"/>
        <v>0.55143660227245661</v>
      </c>
      <c r="E4" s="5">
        <f t="shared" si="2"/>
        <v>1.8134450921085483</v>
      </c>
      <c r="F4" s="5">
        <f t="shared" si="3"/>
        <v>3</v>
      </c>
      <c r="G4" s="5">
        <f t="shared" si="4"/>
        <v>0.81344509210854832</v>
      </c>
      <c r="J4">
        <f t="shared" si="5"/>
        <v>25464.846000000001</v>
      </c>
    </row>
    <row r="5">
      <c r="A5">
        <v>8</v>
      </c>
      <c r="B5">
        <v>23418.869999999999</v>
      </c>
      <c r="C5" s="5">
        <f t="shared" si="0"/>
        <v>2.2313780043352947</v>
      </c>
      <c r="D5" s="5">
        <f t="shared" si="1"/>
        <v>0.27892225054191183</v>
      </c>
      <c r="E5" s="5">
        <f t="shared" si="2"/>
        <v>3.5852284930912548</v>
      </c>
      <c r="F5" s="5">
        <f t="shared" si="3"/>
        <v>7</v>
      </c>
      <c r="G5" s="5">
        <f t="shared" si="4"/>
        <v>2.5852284930912548</v>
      </c>
      <c r="J5">
        <f t="shared" si="5"/>
        <v>25760.757000000001</v>
      </c>
    </row>
    <row r="6">
      <c r="A6">
        <v>16</v>
      </c>
      <c r="B6">
        <v>19975.990000000002</v>
      </c>
      <c r="C6" s="5">
        <f t="shared" si="0"/>
        <v>1.9033362711702915</v>
      </c>
      <c r="D6" s="5">
        <f t="shared" si="1"/>
        <v>0.11895851694814322</v>
      </c>
      <c r="E6" s="5">
        <f t="shared" si="2"/>
        <v>8.406291753249775</v>
      </c>
      <c r="F6" s="5">
        <f t="shared" si="3"/>
        <v>15</v>
      </c>
      <c r="G6" s="5">
        <f t="shared" si="4"/>
        <v>7.406291753249775</v>
      </c>
      <c r="J6">
        <f t="shared" si="5"/>
        <v>21973.589000000004</v>
      </c>
    </row>
    <row r="7">
      <c r="A7" s="6"/>
      <c r="B7" s="6"/>
      <c r="C7" s="6"/>
      <c r="D7" s="6"/>
      <c r="E7" s="6"/>
      <c r="F7" s="6"/>
      <c r="G7" s="6"/>
      <c r="J7" s="6"/>
    </row>
    <row r="8">
      <c r="A8" s="6"/>
      <c r="B8" s="6"/>
      <c r="C8" s="6"/>
      <c r="D8" s="6"/>
      <c r="E8" s="6"/>
      <c r="F8" s="6"/>
      <c r="G8" s="6"/>
      <c r="J8" s="6"/>
    </row>
    <row r="9">
      <c r="A9" s="6"/>
      <c r="B9" s="6"/>
      <c r="C9" s="6"/>
      <c r="D9" s="6"/>
      <c r="E9" s="6"/>
      <c r="F9" s="6"/>
      <c r="G9" s="6"/>
      <c r="J9" s="6"/>
    </row>
    <row r="10" ht="14.25">
      <c r="A10" s="6"/>
      <c r="B10" s="6"/>
      <c r="C10" s="6"/>
      <c r="D10" s="6"/>
      <c r="E10" s="6"/>
      <c r="F10" s="6"/>
      <c r="G10" s="6"/>
      <c r="J10" s="6"/>
    </row>
    <row r="12">
      <c r="A12" s="7" t="s">
        <v>7</v>
      </c>
      <c r="D12" s="8" t="s">
        <v>8</v>
      </c>
    </row>
    <row r="13">
      <c r="A13" s="9" t="s">
        <v>9</v>
      </c>
      <c r="B13" s="10"/>
      <c r="D13" s="11" t="s">
        <v>10</v>
      </c>
      <c r="E13" s="11" t="s">
        <v>11</v>
      </c>
      <c r="F13" s="11" t="s">
        <v>12</v>
      </c>
      <c r="G13" s="11" t="s">
        <v>13</v>
      </c>
    </row>
    <row r="14">
      <c r="A14" s="12" t="s">
        <v>14</v>
      </c>
      <c r="B14" s="13">
        <v>0.020400000000000001</v>
      </c>
      <c r="C14" s="14"/>
      <c r="D14" s="15">
        <f t="shared" ref="D14:D18" si="6">A2</f>
        <v>1</v>
      </c>
      <c r="E14" s="5">
        <f t="shared" ref="E14:E18" si="7">D14/(1+($B$18*(D14-1))+($B$19*D14*(D14-1)))</f>
        <v>1</v>
      </c>
      <c r="F14" s="5">
        <f t="shared" ref="F14:F18" si="8">E14*$B$2</f>
        <v>10495.25</v>
      </c>
      <c r="G14" s="5">
        <f t="shared" ref="G14:G18" si="9">B2</f>
        <v>10495.25</v>
      </c>
    </row>
    <row r="15">
      <c r="A15" s="12" t="s">
        <v>15</v>
      </c>
      <c r="B15" s="16">
        <v>0.13919999999999999</v>
      </c>
      <c r="C15" s="17"/>
      <c r="D15" s="15">
        <f t="shared" si="6"/>
        <v>2</v>
      </c>
      <c r="E15" s="5">
        <f t="shared" si="7"/>
        <v>1.7247326664367024</v>
      </c>
      <c r="F15" s="5">
        <f t="shared" si="8"/>
        <v>18101.500517419801</v>
      </c>
      <c r="G15" s="5">
        <f t="shared" si="9"/>
        <v>17795.860000000001</v>
      </c>
    </row>
    <row r="16">
      <c r="A16" s="12" t="s">
        <v>16</v>
      </c>
      <c r="B16" s="16">
        <v>0</v>
      </c>
      <c r="D16" s="15">
        <f t="shared" si="6"/>
        <v>4</v>
      </c>
      <c r="E16" s="5">
        <f t="shared" si="7"/>
        <v>2.498126405196103</v>
      </c>
      <c r="F16" s="5">
        <f t="shared" si="8"/>
        <v>26218.461154134398</v>
      </c>
      <c r="G16" s="5">
        <f t="shared" si="9"/>
        <v>23149.860000000001</v>
      </c>
    </row>
    <row r="17">
      <c r="A17" s="18" t="s">
        <v>17</v>
      </c>
      <c r="B17" s="10"/>
      <c r="D17" s="15">
        <f t="shared" si="6"/>
        <v>8</v>
      </c>
      <c r="E17" s="5">
        <f t="shared" si="7"/>
        <v>2.6899798251513114</v>
      </c>
      <c r="F17" s="5">
        <f t="shared" si="8"/>
        <v>28232.0107599193</v>
      </c>
      <c r="G17" s="5">
        <f t="shared" si="9"/>
        <v>23418.869999999999</v>
      </c>
    </row>
    <row r="18">
      <c r="A18" s="19" t="s">
        <v>18</v>
      </c>
      <c r="B18" s="20">
        <f>B15-B14</f>
        <v>0.11879999999999999</v>
      </c>
      <c r="D18" s="15">
        <f t="shared" si="6"/>
        <v>16</v>
      </c>
      <c r="E18" s="5">
        <f t="shared" si="7"/>
        <v>2.083876009377442</v>
      </c>
      <c r="F18" s="5">
        <f t="shared" si="8"/>
        <v>21870.799687418599</v>
      </c>
      <c r="G18" s="5">
        <f t="shared" si="9"/>
        <v>19975.990000000002</v>
      </c>
    </row>
    <row r="19">
      <c r="A19" s="21" t="s">
        <v>19</v>
      </c>
      <c r="B19" s="22">
        <f>B14</f>
        <v>0.020400000000000001</v>
      </c>
      <c r="D19" s="6"/>
      <c r="E19" s="6"/>
      <c r="F19" s="6"/>
      <c r="G19" s="6"/>
    </row>
    <row r="20">
      <c r="A20" s="21" t="s">
        <v>20</v>
      </c>
      <c r="B20" s="23">
        <f>TRUNC(SQRT((1-B18)/B19))</f>
        <v>6</v>
      </c>
      <c r="D20" s="6"/>
      <c r="E20" s="6"/>
      <c r="F20" s="6"/>
      <c r="G20" s="6"/>
    </row>
    <row r="21">
      <c r="C21" s="1"/>
      <c r="D21" s="6"/>
      <c r="E21" s="6"/>
      <c r="F21" s="6"/>
      <c r="G21" s="6"/>
    </row>
    <row r="22" ht="14.25">
      <c r="D22" s="6"/>
      <c r="E22" s="6"/>
      <c r="F22" s="6"/>
      <c r="G22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Universidad de Málaga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José;danic@icaro.eii.us.es</dc:creator>
  <cp:revision>2</cp:revision>
  <dcterms:created xsi:type="dcterms:W3CDTF">2012-09-21T16:30:17Z</dcterms:created>
  <dcterms:modified xsi:type="dcterms:W3CDTF">2026-10-13T12:01:01Z</dcterms:modified>
</cp:coreProperties>
</file>