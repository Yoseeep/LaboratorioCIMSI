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CIMSI\Teoria\T2\"/>
    </mc:Choice>
  </mc:AlternateContent>
  <bookViews>
    <workbookView xWindow="405" yWindow="15" windowWidth="19320" windowHeight="12720"/>
  </bookViews>
  <sheets>
    <sheet name="ModeloPrediccionCapacidad" sheetId="1" r:id="rId1"/>
  </sheets>
  <calcPr calcId="162913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2" i="1"/>
  <c r="G21" i="1" l="1"/>
  <c r="D21" i="1"/>
  <c r="G20" i="1"/>
  <c r="D20" i="1"/>
  <c r="G19" i="1"/>
  <c r="D19" i="1"/>
  <c r="B19" i="1"/>
  <c r="G18" i="1"/>
  <c r="D18" i="1"/>
  <c r="B18" i="1"/>
  <c r="G17" i="1"/>
  <c r="D17" i="1"/>
  <c r="G16" i="1"/>
  <c r="D16" i="1"/>
  <c r="G15" i="1"/>
  <c r="D15" i="1"/>
  <c r="G14" i="1"/>
  <c r="D14" i="1"/>
  <c r="F9" i="1"/>
  <c r="C9" i="1"/>
  <c r="D9" i="1" s="1"/>
  <c r="F8" i="1"/>
  <c r="C8" i="1"/>
  <c r="E8" i="1" s="1"/>
  <c r="G8" i="1" s="1"/>
  <c r="F7" i="1"/>
  <c r="C7" i="1"/>
  <c r="E7" i="1" s="1"/>
  <c r="G7" i="1" s="1"/>
  <c r="F6" i="1"/>
  <c r="C6" i="1"/>
  <c r="E6" i="1" s="1"/>
  <c r="G6" i="1" s="1"/>
  <c r="F5" i="1"/>
  <c r="C5" i="1"/>
  <c r="D5" i="1" s="1"/>
  <c r="F4" i="1"/>
  <c r="C4" i="1"/>
  <c r="E4" i="1" s="1"/>
  <c r="G4" i="1" s="1"/>
  <c r="F3" i="1"/>
  <c r="C3" i="1"/>
  <c r="E3" i="1" s="1"/>
  <c r="G3" i="1" s="1"/>
  <c r="F2" i="1"/>
  <c r="C2" i="1"/>
  <c r="E2" i="1" s="1"/>
  <c r="G2" i="1" s="1"/>
  <c r="E14" i="1" l="1"/>
  <c r="F14" i="1" s="1"/>
  <c r="E15" i="1"/>
  <c r="F15" i="1" s="1"/>
  <c r="B20" i="1"/>
  <c r="E5" i="1"/>
  <c r="G5" i="1" s="1"/>
  <c r="D4" i="1"/>
  <c r="D6" i="1"/>
  <c r="D2" i="1"/>
  <c r="D3" i="1"/>
  <c r="E9" i="1"/>
  <c r="G9" i="1" s="1"/>
  <c r="D8" i="1"/>
  <c r="D7" i="1"/>
  <c r="E18" i="1"/>
  <c r="F18" i="1" s="1"/>
  <c r="E16" i="1"/>
  <c r="F16" i="1" s="1"/>
  <c r="E19" i="1"/>
  <c r="F19" i="1" s="1"/>
  <c r="E21" i="1"/>
  <c r="F21" i="1" s="1"/>
  <c r="E20" i="1"/>
  <c r="F20" i="1" s="1"/>
  <c r="E17" i="1"/>
  <c r="F17" i="1" s="1"/>
</calcChain>
</file>

<file path=xl/sharedStrings.xml><?xml version="1.0" encoding="utf-8"?>
<sst xmlns="http://schemas.openxmlformats.org/spreadsheetml/2006/main" count="21" uniqueCount="21">
  <si>
    <t>a</t>
  </si>
  <si>
    <t>b</t>
  </si>
  <si>
    <t>c</t>
  </si>
  <si>
    <t>Serial Values</t>
  </si>
  <si>
    <t>Variable elegida</t>
  </si>
  <si>
    <t>alfa</t>
  </si>
  <si>
    <t>beta</t>
  </si>
  <si>
    <t>N*</t>
  </si>
  <si>
    <t>Usuarios</t>
  </si>
  <si>
    <t>Usuarios (N)</t>
  </si>
  <si>
    <t>CapRel C(N)</t>
  </si>
  <si>
    <t>Eficiencia C/N</t>
  </si>
  <si>
    <t>Inversa N/C</t>
  </si>
  <si>
    <t>Linealidad (N-1)</t>
  </si>
  <si>
    <t>Desviación (N/C)-1</t>
  </si>
  <si>
    <t>Línea de tendencia</t>
  </si>
  <si>
    <t>Coeficientes</t>
  </si>
  <si>
    <t>Super-Parametros</t>
  </si>
  <si>
    <t>Cap modelada</t>
  </si>
  <si>
    <t>X modelado</t>
  </si>
  <si>
    <t>X Medido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</si>
</sst>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8"/>
      <name val="Calibri"/>
      <family val="2"/>
    </font>
    <font>
      <b/>
      <sz val="11"/>
      <color rgb="FFFA7D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2F2F2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3" fillId="4" borderId="1" applyNumberFormat="0" applyAlignment="0" applyProtection="0"/>
    <xf numFmtId="0" fontId="4" fillId="7" borderId="1" applyNumberFormat="0" applyAlignment="0" applyProtection="0"/>
    <xf numFmtId="0" fontId="5" fillId="4" borderId="2" applyNumberFormat="0" applyAlignment="0" applyProtection="0"/>
  </cellStyleXfs>
  <cellXfs count="23">
    <xf numFmtId="0" fontId="0" fillId="0" borderId="0" xfId="0"/>
    <xf numFmtId="4" fontId="0" fillId="0" borderId="0" xfId="0" applyNumberFormat="1"/>
    <xf numFmtId="11" fontId="0" fillId="0" borderId="0" xfId="0" applyNumberFormat="1"/>
    <xf numFmtId="165" fontId="0" fillId="0" borderId="0" xfId="0" applyNumberFormat="1"/>
    <xf numFmtId="0" fontId="1" fillId="2" borderId="0" xfId="0" applyFont="1" applyFill="1"/>
    <xf numFmtId="4" fontId="1" fillId="3" borderId="0" xfId="0" applyNumberFormat="1" applyFont="1" applyFill="1"/>
    <xf numFmtId="0" fontId="1" fillId="3" borderId="0" xfId="0" applyFont="1" applyFill="1" applyAlignment="1">
      <alignment horizontal="center"/>
    </xf>
    <xf numFmtId="4" fontId="0" fillId="6" borderId="0" xfId="0" applyNumberFormat="1" applyFill="1"/>
    <xf numFmtId="0" fontId="1" fillId="5" borderId="0" xfId="0" applyFont="1" applyFill="1"/>
    <xf numFmtId="4" fontId="1" fillId="5" borderId="0" xfId="0" applyNumberFormat="1" applyFont="1" applyFill="1"/>
    <xf numFmtId="165" fontId="1" fillId="5" borderId="0" xfId="0" applyNumberFormat="1" applyFont="1" applyFill="1"/>
    <xf numFmtId="4" fontId="1" fillId="6" borderId="0" xfId="0" applyNumberFormat="1" applyFont="1" applyFill="1"/>
    <xf numFmtId="0" fontId="0" fillId="6" borderId="0" xfId="0" applyFill="1"/>
    <xf numFmtId="11" fontId="0" fillId="6" borderId="0" xfId="0" applyNumberFormat="1" applyFill="1"/>
    <xf numFmtId="164" fontId="0" fillId="6" borderId="0" xfId="0" applyNumberFormat="1" applyFill="1"/>
    <xf numFmtId="0" fontId="1" fillId="6" borderId="0" xfId="0" applyFont="1" applyFill="1" applyAlignment="1">
      <alignment horizontal="center"/>
    </xf>
    <xf numFmtId="4" fontId="3" fillId="4" borderId="1" xfId="1" applyNumberFormat="1"/>
    <xf numFmtId="165" fontId="3" fillId="4" borderId="1" xfId="1" applyNumberFormat="1"/>
    <xf numFmtId="11" fontId="3" fillId="4" borderId="1" xfId="1" applyNumberFormat="1"/>
    <xf numFmtId="0" fontId="3" fillId="4" borderId="1" xfId="1"/>
    <xf numFmtId="0" fontId="5" fillId="4" borderId="2" xfId="3"/>
    <xf numFmtId="11" fontId="4" fillId="7" borderId="1" xfId="2" applyNumberFormat="1"/>
    <xf numFmtId="164" fontId="4" fillId="7" borderId="1" xfId="2" applyNumberFormat="1"/>
  </cellXfs>
  <cellStyles count="4">
    <cellStyle name="Cálculo" xfId="1" builtinId="22"/>
    <cellStyle name="Entrada" xfId="2" builtinId="20"/>
    <cellStyle name="Normal" xfId="0" builtinId="0"/>
    <cellStyle name="Salida" xfId="3" builtinId="21"/>
  </cellStyles>
  <dxfs count="0"/>
  <tableStyles count="0" defaultTableStyle="TableStyleMedium9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ModeloPrediccionCapacidad!$F$13</c:f>
              <c:strCache>
                <c:ptCount val="1"/>
                <c:pt idx="0">
                  <c:v>X modelado</c:v>
                </c:pt>
              </c:strCache>
            </c:strRef>
          </c:tx>
          <c:xVal>
            <c:numRef>
              <c:f>ModeloPrediccionCapacidad!$D$14:$D$21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</c:numCache>
            </c:numRef>
          </c:xVal>
          <c:yVal>
            <c:numRef>
              <c:f>ModeloPrediccionCapacidad!$F$14:$F$21</c:f>
              <c:numCache>
                <c:formatCode>#,##0.00</c:formatCode>
                <c:ptCount val="8"/>
                <c:pt idx="0">
                  <c:v>5500</c:v>
                </c:pt>
                <c:pt idx="1">
                  <c:v>10532.363079279969</c:v>
                </c:pt>
                <c:pt idx="2">
                  <c:v>19393.511988716502</c:v>
                </c:pt>
                <c:pt idx="3">
                  <c:v>33353.547604608844</c:v>
                </c:pt>
                <c:pt idx="4">
                  <c:v>51522.248243559719</c:v>
                </c:pt>
                <c:pt idx="5">
                  <c:v>68685.607243209495</c:v>
                </c:pt>
                <c:pt idx="6">
                  <c:v>76882.753800454302</c:v>
                </c:pt>
                <c:pt idx="7">
                  <c:v>71550.532563623041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6C-437B-BDA3-249F43E48A20}"/>
            </c:ext>
          </c:extLst>
        </c:ser>
        <c:ser>
          <c:idx val="2"/>
          <c:order val="1"/>
          <c:tx>
            <c:strRef>
              <c:f>ModeloPrediccionCapacidad!$G$13</c:f>
              <c:strCache>
                <c:ptCount val="1"/>
                <c:pt idx="0">
                  <c:v>X Medido</c:v>
                </c:pt>
              </c:strCache>
            </c:strRef>
          </c:tx>
          <c:xVal>
            <c:numRef>
              <c:f>ModeloPrediccionCapacidad!$D$14:$D$21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</c:numCache>
            </c:numRef>
          </c:xVal>
          <c:yVal>
            <c:numRef>
              <c:f>ModeloPrediccionCapacidad!$G$14:$G$21</c:f>
              <c:numCache>
                <c:formatCode>#,##0.00</c:formatCode>
                <c:ptCount val="8"/>
                <c:pt idx="0">
                  <c:v>5500</c:v>
                </c:pt>
                <c:pt idx="1">
                  <c:v>10890</c:v>
                </c:pt>
                <c:pt idx="2">
                  <c:v>19800</c:v>
                </c:pt>
                <c:pt idx="3">
                  <c:v>33000</c:v>
                </c:pt>
                <c:pt idx="4">
                  <c:v>63800.000000000007</c:v>
                </c:pt>
                <c:pt idx="5">
                  <c:v>68200</c:v>
                </c:pt>
                <c:pt idx="6">
                  <c:v>75900</c:v>
                </c:pt>
                <c:pt idx="7">
                  <c:v>77000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A6C-437B-BDA3-249F43E48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164544"/>
        <c:axId val="121166080"/>
      </c:scatterChart>
      <c:valAx>
        <c:axId val="121164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1166080"/>
        <c:crosses val="autoZero"/>
        <c:crossBetween val="midCat"/>
      </c:valAx>
      <c:valAx>
        <c:axId val="121166080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121164544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ModeloPrediccionCapacidad!$G$1</c:f>
              <c:strCache>
                <c:ptCount val="1"/>
                <c:pt idx="0">
                  <c:v>Desviación (N/C)-1</c:v>
                </c:pt>
              </c:strCache>
            </c:strRef>
          </c:tx>
          <c:trendline>
            <c:trendlineType val="poly"/>
            <c:order val="2"/>
            <c:intercept val="0"/>
            <c:dispRSqr val="0"/>
            <c:dispEq val="1"/>
            <c:trendlineLbl>
              <c:layout>
                <c:manualLayout>
                  <c:x val="0.41868153980752404"/>
                  <c:y val="-2.4424030329542141E-3"/>
                </c:manualLayout>
              </c:layout>
              <c:numFmt formatCode="General" sourceLinked="0"/>
            </c:trendlineLbl>
          </c:trendline>
          <c:xVal>
            <c:numRef>
              <c:f>ModeloPrediccionCapacidad!$A$2:$A$9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16</c:v>
                </c:pt>
                <c:pt idx="5">
                  <c:v>32</c:v>
                </c:pt>
                <c:pt idx="6">
                  <c:v>64</c:v>
                </c:pt>
                <c:pt idx="7">
                  <c:v>128</c:v>
                </c:pt>
              </c:numCache>
            </c:numRef>
          </c:xVal>
          <c:yVal>
            <c:numRef>
              <c:f>ModeloPrediccionCapacidad!$G$2:$G$9</c:f>
              <c:numCache>
                <c:formatCode>#,##0.00</c:formatCode>
                <c:ptCount val="8"/>
                <c:pt idx="0">
                  <c:v>0</c:v>
                </c:pt>
                <c:pt idx="1">
                  <c:v>1.0101010101010166E-2</c:v>
                </c:pt>
                <c:pt idx="2">
                  <c:v>0.11111111111111116</c:v>
                </c:pt>
                <c:pt idx="3">
                  <c:v>0.33333333333333326</c:v>
                </c:pt>
                <c:pt idx="4">
                  <c:v>0.37931034482758608</c:v>
                </c:pt>
                <c:pt idx="5">
                  <c:v>1.5806451612903225</c:v>
                </c:pt>
                <c:pt idx="6">
                  <c:v>3.63768115942029</c:v>
                </c:pt>
                <c:pt idx="7">
                  <c:v>8.1428571428571423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5F-4E81-B422-C6EC59D1B0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911936"/>
        <c:axId val="121926016"/>
      </c:scatterChart>
      <c:valAx>
        <c:axId val="121911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1926016"/>
        <c:crosses val="autoZero"/>
        <c:crossBetween val="midCat"/>
      </c:valAx>
      <c:valAx>
        <c:axId val="121926016"/>
        <c:scaling>
          <c:orientation val="minMax"/>
        </c:scaling>
        <c:delete val="0"/>
        <c:axPos val="l"/>
        <c:majorGridlines/>
        <c:numFmt formatCode="#,##0.00" sourceLinked="1"/>
        <c:majorTickMark val="out"/>
        <c:minorTickMark val="none"/>
        <c:tickLblPos val="nextTo"/>
        <c:crossAx val="12191193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457201</xdr:colOff>
      <xdr:row>2</xdr:row>
      <xdr:rowOff>76201</xdr:rowOff>
    </xdr:from>
    <xdr:to>
      <xdr:col>9</xdr:col>
      <xdr:colOff>95251</xdr:colOff>
      <xdr:row>7</xdr:row>
      <xdr:rowOff>85725</xdr:rowOff>
    </xdr:to>
    <xdr:sp macro="" textlink="">
      <xdr:nvSpPr>
        <xdr:cNvPr id="2" name="1 Llamada rectangular redondeada"/>
        <xdr:cNvSpPr/>
      </xdr:nvSpPr>
      <xdr:spPr>
        <a:xfrm>
          <a:off x="8391526" y="457201"/>
          <a:ext cx="1162050" cy="962024"/>
        </a:xfrm>
        <a:prstGeom prst="wedgeRoundRectCallout">
          <a:avLst>
            <a:gd name="adj1" fmla="val -77519"/>
            <a:gd name="adj2" fmla="val -20639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100"/>
            <a:t>Las celdas en</a:t>
          </a:r>
          <a:r>
            <a:rPr lang="es-ES" sz="1100" baseline="0"/>
            <a:t> gris indican cálculos prestablecidos.</a:t>
          </a:r>
          <a:endParaRPr lang="es-ES" sz="1100"/>
        </a:p>
      </xdr:txBody>
    </xdr:sp>
    <xdr:clientData/>
  </xdr:twoCellAnchor>
  <xdr:twoCellAnchor>
    <xdr:from>
      <xdr:col>2</xdr:col>
      <xdr:colOff>123826</xdr:colOff>
      <xdr:row>11</xdr:row>
      <xdr:rowOff>142875</xdr:rowOff>
    </xdr:from>
    <xdr:to>
      <xdr:col>2</xdr:col>
      <xdr:colOff>1038226</xdr:colOff>
      <xdr:row>21</xdr:row>
      <xdr:rowOff>123825</xdr:rowOff>
    </xdr:to>
    <xdr:sp macro="" textlink="">
      <xdr:nvSpPr>
        <xdr:cNvPr id="3" name="2 Llamada rectangular redondeada"/>
        <xdr:cNvSpPr/>
      </xdr:nvSpPr>
      <xdr:spPr>
        <a:xfrm>
          <a:off x="2876551" y="2238375"/>
          <a:ext cx="914400" cy="1885950"/>
        </a:xfrm>
        <a:prstGeom prst="wedgeRoundRectCallout">
          <a:avLst>
            <a:gd name="adj1" fmla="val -62535"/>
            <a:gd name="adj2" fmla="val -22519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ES" sz="1050"/>
            <a:t>Los parámetros a,b,c</a:t>
          </a:r>
          <a:r>
            <a:rPr lang="es-ES" sz="1050" baseline="0"/>
            <a:t> son los correspondientes a los coeficientes de la recta de regresión que ha calculado en la gráfica. </a:t>
          </a:r>
          <a:endParaRPr lang="es-ES" sz="1050"/>
        </a:p>
      </xdr:txBody>
    </xdr:sp>
    <xdr:clientData/>
  </xdr:twoCellAnchor>
  <xdr:twoCellAnchor>
    <xdr:from>
      <xdr:col>4</xdr:col>
      <xdr:colOff>95250</xdr:colOff>
      <xdr:row>22</xdr:row>
      <xdr:rowOff>19050</xdr:rowOff>
    </xdr:from>
    <xdr:to>
      <xdr:col>8</xdr:col>
      <xdr:colOff>704850</xdr:colOff>
      <xdr:row>36</xdr:row>
      <xdr:rowOff>109537</xdr:rowOff>
    </xdr:to>
    <xdr:graphicFrame macro="">
      <xdr:nvGraphicFramePr>
        <xdr:cNvPr id="6" name="5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138112</xdr:colOff>
      <xdr:row>22</xdr:row>
      <xdr:rowOff>0</xdr:rowOff>
    </xdr:from>
    <xdr:to>
      <xdr:col>3</xdr:col>
      <xdr:colOff>871537</xdr:colOff>
      <xdr:row>36</xdr:row>
      <xdr:rowOff>76200</xdr:rowOff>
    </xdr:to>
    <xdr:graphicFrame macro="">
      <xdr:nvGraphicFramePr>
        <xdr:cNvPr id="7" name="6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tabSelected="1" workbookViewId="0">
      <selection activeCell="K14" sqref="K14"/>
    </sheetView>
  </sheetViews>
  <sheetFormatPr baseColWidth="10" defaultRowHeight="15" x14ac:dyDescent="0.25"/>
  <cols>
    <col min="1" max="1" width="17.85546875" bestFit="1" customWidth="1"/>
    <col min="2" max="2" width="23.42578125" style="1" bestFit="1" customWidth="1"/>
    <col min="3" max="3" width="16.28515625" bestFit="1" customWidth="1"/>
    <col min="4" max="4" width="13.42578125" style="1" bestFit="1" customWidth="1"/>
    <col min="5" max="5" width="14" style="1" customWidth="1"/>
    <col min="6" max="6" width="17.28515625" style="1" customWidth="1"/>
    <col min="7" max="7" width="16.7109375" style="1" bestFit="1" customWidth="1"/>
  </cols>
  <sheetData>
    <row r="1" spans="1:10" x14ac:dyDescent="0.25">
      <c r="A1" s="8" t="s">
        <v>9</v>
      </c>
      <c r="B1" s="9" t="s">
        <v>4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</row>
    <row r="2" spans="1:10" x14ac:dyDescent="0.25">
      <c r="A2">
        <v>1</v>
      </c>
      <c r="B2">
        <v>5500</v>
      </c>
      <c r="C2" s="16">
        <f t="shared" ref="C2:C8" si="0">B2/$B$2</f>
        <v>1</v>
      </c>
      <c r="D2" s="16">
        <f t="shared" ref="D2:D8" si="1">C2/A2</f>
        <v>1</v>
      </c>
      <c r="E2" s="16">
        <f t="shared" ref="E2:E8" si="2">A2/C2</f>
        <v>1</v>
      </c>
      <c r="F2" s="16">
        <f t="shared" ref="F2:F8" si="3">A2-1</f>
        <v>0</v>
      </c>
      <c r="G2" s="16">
        <f t="shared" ref="G2:G8" si="4">E2-1</f>
        <v>0</v>
      </c>
      <c r="J2">
        <f>B2*1.1</f>
        <v>6050.0000000000009</v>
      </c>
    </row>
    <row r="3" spans="1:10" x14ac:dyDescent="0.25">
      <c r="A3">
        <v>2</v>
      </c>
      <c r="B3">
        <v>10890</v>
      </c>
      <c r="C3" s="16">
        <f t="shared" si="0"/>
        <v>1.98</v>
      </c>
      <c r="D3" s="16">
        <f t="shared" si="1"/>
        <v>0.99</v>
      </c>
      <c r="E3" s="16">
        <f t="shared" si="2"/>
        <v>1.0101010101010102</v>
      </c>
      <c r="F3" s="16">
        <f t="shared" si="3"/>
        <v>1</v>
      </c>
      <c r="G3" s="16">
        <f t="shared" si="4"/>
        <v>1.0101010101010166E-2</v>
      </c>
      <c r="J3">
        <f t="shared" ref="J3:J9" si="5">B3*1.1</f>
        <v>11979.000000000002</v>
      </c>
    </row>
    <row r="4" spans="1:10" x14ac:dyDescent="0.25">
      <c r="A4">
        <v>4</v>
      </c>
      <c r="B4">
        <v>19800</v>
      </c>
      <c r="C4" s="16">
        <f t="shared" si="0"/>
        <v>3.6</v>
      </c>
      <c r="D4" s="16">
        <f t="shared" si="1"/>
        <v>0.9</v>
      </c>
      <c r="E4" s="16">
        <f t="shared" si="2"/>
        <v>1.1111111111111112</v>
      </c>
      <c r="F4" s="16">
        <f t="shared" si="3"/>
        <v>3</v>
      </c>
      <c r="G4" s="16">
        <f t="shared" si="4"/>
        <v>0.11111111111111116</v>
      </c>
      <c r="J4">
        <f t="shared" si="5"/>
        <v>21780</v>
      </c>
    </row>
    <row r="5" spans="1:10" x14ac:dyDescent="0.25">
      <c r="A5">
        <v>8</v>
      </c>
      <c r="B5">
        <v>33000</v>
      </c>
      <c r="C5" s="16">
        <f t="shared" si="0"/>
        <v>6</v>
      </c>
      <c r="D5" s="16">
        <f t="shared" si="1"/>
        <v>0.75</v>
      </c>
      <c r="E5" s="16">
        <f t="shared" si="2"/>
        <v>1.3333333333333333</v>
      </c>
      <c r="F5" s="16">
        <f t="shared" si="3"/>
        <v>7</v>
      </c>
      <c r="G5" s="16">
        <f t="shared" si="4"/>
        <v>0.33333333333333326</v>
      </c>
      <c r="J5">
        <f t="shared" si="5"/>
        <v>36300</v>
      </c>
    </row>
    <row r="6" spans="1:10" x14ac:dyDescent="0.25">
      <c r="A6">
        <v>16</v>
      </c>
      <c r="B6">
        <v>63800.000000000007</v>
      </c>
      <c r="C6" s="16">
        <f t="shared" si="0"/>
        <v>11.600000000000001</v>
      </c>
      <c r="D6" s="16">
        <f t="shared" si="1"/>
        <v>0.72500000000000009</v>
      </c>
      <c r="E6" s="16">
        <f t="shared" si="2"/>
        <v>1.3793103448275861</v>
      </c>
      <c r="F6" s="16">
        <f t="shared" si="3"/>
        <v>15</v>
      </c>
      <c r="G6" s="16">
        <f t="shared" si="4"/>
        <v>0.37931034482758608</v>
      </c>
      <c r="J6">
        <f t="shared" si="5"/>
        <v>70180.000000000015</v>
      </c>
    </row>
    <row r="7" spans="1:10" x14ac:dyDescent="0.25">
      <c r="A7">
        <v>32</v>
      </c>
      <c r="B7">
        <v>68200</v>
      </c>
      <c r="C7" s="16">
        <f t="shared" si="0"/>
        <v>12.4</v>
      </c>
      <c r="D7" s="16">
        <f t="shared" si="1"/>
        <v>0.38750000000000001</v>
      </c>
      <c r="E7" s="16">
        <f t="shared" si="2"/>
        <v>2.5806451612903225</v>
      </c>
      <c r="F7" s="16">
        <f t="shared" si="3"/>
        <v>31</v>
      </c>
      <c r="G7" s="16">
        <f t="shared" si="4"/>
        <v>1.5806451612903225</v>
      </c>
      <c r="J7">
        <f t="shared" si="5"/>
        <v>75020</v>
      </c>
    </row>
    <row r="8" spans="1:10" x14ac:dyDescent="0.25">
      <c r="A8">
        <v>64</v>
      </c>
      <c r="B8">
        <v>75900</v>
      </c>
      <c r="C8" s="16">
        <f t="shared" si="0"/>
        <v>13.8</v>
      </c>
      <c r="D8" s="16">
        <f t="shared" si="1"/>
        <v>0.21562500000000001</v>
      </c>
      <c r="E8" s="16">
        <f t="shared" si="2"/>
        <v>4.63768115942029</v>
      </c>
      <c r="F8" s="16">
        <f t="shared" si="3"/>
        <v>63</v>
      </c>
      <c r="G8" s="16">
        <f t="shared" si="4"/>
        <v>3.63768115942029</v>
      </c>
      <c r="J8">
        <f t="shared" si="5"/>
        <v>83490</v>
      </c>
    </row>
    <row r="9" spans="1:10" x14ac:dyDescent="0.25">
      <c r="A9">
        <v>128</v>
      </c>
      <c r="B9">
        <v>77000</v>
      </c>
      <c r="C9" s="16">
        <f>B9/$B$2</f>
        <v>14</v>
      </c>
      <c r="D9" s="16">
        <f>C9/A9</f>
        <v>0.109375</v>
      </c>
      <c r="E9" s="16">
        <f>A9/C9</f>
        <v>9.1428571428571423</v>
      </c>
      <c r="F9" s="16">
        <f>A9-1</f>
        <v>127</v>
      </c>
      <c r="G9" s="16">
        <f>E9-1</f>
        <v>8.1428571428571423</v>
      </c>
      <c r="J9">
        <f t="shared" si="5"/>
        <v>84700</v>
      </c>
    </row>
    <row r="12" spans="1:10" x14ac:dyDescent="0.25">
      <c r="A12" s="4" t="s">
        <v>15</v>
      </c>
      <c r="D12" s="6" t="s">
        <v>3</v>
      </c>
    </row>
    <row r="13" spans="1:10" x14ac:dyDescent="0.25">
      <c r="A13" s="11" t="s">
        <v>16</v>
      </c>
      <c r="B13" s="7"/>
      <c r="D13" s="5" t="s">
        <v>8</v>
      </c>
      <c r="E13" s="5" t="s">
        <v>18</v>
      </c>
      <c r="F13" s="5" t="s">
        <v>19</v>
      </c>
      <c r="G13" s="5" t="s">
        <v>20</v>
      </c>
    </row>
    <row r="14" spans="1:10" x14ac:dyDescent="0.25">
      <c r="A14" s="12" t="s">
        <v>0</v>
      </c>
      <c r="B14" s="21">
        <v>2.0000000000000001E-4</v>
      </c>
      <c r="C14" s="3"/>
      <c r="D14" s="19">
        <f>A2</f>
        <v>1</v>
      </c>
      <c r="E14" s="16">
        <f>D14/(1+($B$18*(D14-1))+($B$19*D14*(D14-1)))</f>
        <v>1</v>
      </c>
      <c r="F14" s="16">
        <f>E14*$B$2</f>
        <v>5500</v>
      </c>
      <c r="G14" s="16">
        <f>B2</f>
        <v>5500</v>
      </c>
    </row>
    <row r="15" spans="1:10" x14ac:dyDescent="0.25">
      <c r="A15" s="12" t="s">
        <v>1</v>
      </c>
      <c r="B15" s="22">
        <v>4.4200000000000003E-2</v>
      </c>
      <c r="C15" s="2"/>
      <c r="D15" s="19">
        <f t="shared" ref="D15:D21" si="6">A3</f>
        <v>2</v>
      </c>
      <c r="E15" s="16">
        <f t="shared" ref="E15:E21" si="7">D15/(1+($B$18*(D15-1))+($B$19*D15*(D15-1)))</f>
        <v>1.9149751053236308</v>
      </c>
      <c r="F15" s="16">
        <f t="shared" ref="F15:F21" si="8">E15*$B$2</f>
        <v>10532.363079279969</v>
      </c>
      <c r="G15" s="16">
        <f t="shared" ref="G15:G21" si="9">B3</f>
        <v>10890</v>
      </c>
    </row>
    <row r="16" spans="1:10" x14ac:dyDescent="0.25">
      <c r="A16" s="12" t="s">
        <v>2</v>
      </c>
      <c r="B16" s="22">
        <v>0</v>
      </c>
      <c r="D16" s="19">
        <f t="shared" si="6"/>
        <v>4</v>
      </c>
      <c r="E16" s="16">
        <f t="shared" si="7"/>
        <v>3.5260930888575457</v>
      </c>
      <c r="F16" s="16">
        <f t="shared" si="8"/>
        <v>19393.511988716502</v>
      </c>
      <c r="G16" s="16">
        <f t="shared" si="9"/>
        <v>19800</v>
      </c>
    </row>
    <row r="17" spans="1:7" x14ac:dyDescent="0.25">
      <c r="A17" s="15" t="s">
        <v>17</v>
      </c>
      <c r="B17" s="7"/>
      <c r="D17" s="19">
        <f t="shared" si="6"/>
        <v>8</v>
      </c>
      <c r="E17" s="16">
        <f t="shared" si="7"/>
        <v>6.0642813826561541</v>
      </c>
      <c r="F17" s="16">
        <f t="shared" si="8"/>
        <v>33353.547604608844</v>
      </c>
      <c r="G17" s="16">
        <f t="shared" si="9"/>
        <v>33000</v>
      </c>
    </row>
    <row r="18" spans="1:7" x14ac:dyDescent="0.25">
      <c r="A18" s="13" t="s">
        <v>5</v>
      </c>
      <c r="B18" s="17">
        <f>B15-B14</f>
        <v>4.4000000000000004E-2</v>
      </c>
      <c r="D18" s="19">
        <f t="shared" si="6"/>
        <v>16</v>
      </c>
      <c r="E18" s="16">
        <f t="shared" si="7"/>
        <v>9.3676814988290396</v>
      </c>
      <c r="F18" s="16">
        <f t="shared" si="8"/>
        <v>51522.248243559719</v>
      </c>
      <c r="G18" s="16">
        <f t="shared" si="9"/>
        <v>63800.000000000007</v>
      </c>
    </row>
    <row r="19" spans="1:7" x14ac:dyDescent="0.25">
      <c r="A19" s="14" t="s">
        <v>6</v>
      </c>
      <c r="B19" s="18">
        <f>B14</f>
        <v>2.0000000000000001E-4</v>
      </c>
      <c r="D19" s="19">
        <f t="shared" si="6"/>
        <v>32</v>
      </c>
      <c r="E19" s="16">
        <f t="shared" si="7"/>
        <v>12.488292226038091</v>
      </c>
      <c r="F19" s="16">
        <f t="shared" si="8"/>
        <v>68685.607243209495</v>
      </c>
      <c r="G19" s="16">
        <f t="shared" si="9"/>
        <v>68200</v>
      </c>
    </row>
    <row r="20" spans="1:7" x14ac:dyDescent="0.25">
      <c r="A20" s="14" t="s">
        <v>7</v>
      </c>
      <c r="B20" s="20">
        <f>TRUNC(SQRT((1-B18)/B19))</f>
        <v>69</v>
      </c>
      <c r="D20" s="19">
        <f t="shared" si="6"/>
        <v>64</v>
      </c>
      <c r="E20" s="16">
        <f t="shared" si="7"/>
        <v>13.97868250917351</v>
      </c>
      <c r="F20" s="16">
        <f t="shared" si="8"/>
        <v>76882.753800454302</v>
      </c>
      <c r="G20" s="16">
        <f t="shared" si="9"/>
        <v>75900</v>
      </c>
    </row>
    <row r="21" spans="1:7" x14ac:dyDescent="0.25">
      <c r="C21" s="1"/>
      <c r="D21" s="19">
        <f t="shared" si="6"/>
        <v>128</v>
      </c>
      <c r="E21" s="16">
        <f t="shared" si="7"/>
        <v>13.009187738840554</v>
      </c>
      <c r="F21" s="16">
        <f t="shared" si="8"/>
        <v>71550.532563623041</v>
      </c>
      <c r="G21" s="16">
        <f t="shared" si="9"/>
        <v>77000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ModeloPrediccionCapacidad</vt:lpstr>
    </vt:vector>
  </TitlesOfParts>
  <Company>Universidad de Málaga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José;danic@icaro.eii.us.es</dc:creator>
  <cp:lastModifiedBy>Daniel USSR</cp:lastModifiedBy>
  <dcterms:created xsi:type="dcterms:W3CDTF">2012-09-21T16:30:17Z</dcterms:created>
  <dcterms:modified xsi:type="dcterms:W3CDTF">2025-10-17T10:23:41Z</dcterms:modified>
</cp:coreProperties>
</file>